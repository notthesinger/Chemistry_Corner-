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Chemisty\"/>
    </mc:Choice>
  </mc:AlternateContent>
  <bookViews>
    <workbookView xWindow="0" yWindow="0" windowWidth="28800" windowHeight="123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 s="1"/>
  <c r="C10" i="1"/>
  <c r="D10" i="1" s="1"/>
  <c r="D9" i="1"/>
</calcChain>
</file>

<file path=xl/sharedStrings.xml><?xml version="1.0" encoding="utf-8"?>
<sst xmlns="http://schemas.openxmlformats.org/spreadsheetml/2006/main" count="17" uniqueCount="17">
  <si>
    <t xml:space="preserve">Sulfamic acid reaction </t>
  </si>
  <si>
    <t xml:space="preserve">Material </t>
  </si>
  <si>
    <t xml:space="preserve">1-Octanol </t>
  </si>
  <si>
    <t>D-glucose</t>
  </si>
  <si>
    <t xml:space="preserve">Sulfamic acid </t>
  </si>
  <si>
    <t>B.P/decomp</t>
  </si>
  <si>
    <t>decomp. &gt;205 C</t>
  </si>
  <si>
    <t>Melting point( degree C)</t>
  </si>
  <si>
    <t>molar mass(g/mol)</t>
  </si>
  <si>
    <t>n/a</t>
  </si>
  <si>
    <t>reaction</t>
  </si>
  <si>
    <t>starting amount of D-glucose(gram):</t>
  </si>
  <si>
    <t>amount of sulfamic acid(0.2 equiv):</t>
  </si>
  <si>
    <t>(gram)</t>
  </si>
  <si>
    <t>Jojoba alcohol( Erucyl alcohol)</t>
  </si>
  <si>
    <t>amount of jojoba alcohol(4 equiv.):</t>
  </si>
  <si>
    <t>mmol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</si>
</sst>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GridLines="0" tabSelected="1" workbookViewId="0">
      <selection activeCell="D4" sqref="D4"/>
    </sheetView>
  </sheetViews>
  <sheetFormatPr defaultRowHeight="14.4" x14ac:dyDescent="0.3"/>
  <cols>
    <col min="1" max="1" width="26.109375" bestFit="1" customWidth="1"/>
    <col min="2" max="2" width="30.77734375" bestFit="1" customWidth="1"/>
    <col min="3" max="3" width="22.109375" customWidth="1"/>
    <col min="4" max="4" width="20.6640625" bestFit="1" customWidth="1"/>
  </cols>
  <sheetData>
    <row r="1" spans="1:5" x14ac:dyDescent="0.3">
      <c r="A1" s="2" t="s">
        <v>0</v>
      </c>
      <c r="B1" s="2"/>
      <c r="C1" s="2"/>
      <c r="D1" s="1"/>
    </row>
    <row r="2" spans="1:5" x14ac:dyDescent="0.3">
      <c r="A2" s="1" t="s">
        <v>1</v>
      </c>
      <c r="B2" s="1" t="s">
        <v>5</v>
      </c>
      <c r="C2" s="1" t="s">
        <v>8</v>
      </c>
      <c r="D2" s="1" t="s">
        <v>7</v>
      </c>
    </row>
    <row r="3" spans="1:5" x14ac:dyDescent="0.3">
      <c r="A3" s="1" t="s">
        <v>2</v>
      </c>
      <c r="B3" s="1">
        <v>194.5</v>
      </c>
      <c r="C3" s="1">
        <v>130.22999999999999</v>
      </c>
      <c r="D3" s="1">
        <v>-16.5</v>
      </c>
      <c r="E3" s="1">
        <v>108.14</v>
      </c>
    </row>
    <row r="4" spans="1:5" x14ac:dyDescent="0.3">
      <c r="A4" s="1" t="s">
        <v>3</v>
      </c>
      <c r="B4" s="1" t="s">
        <v>9</v>
      </c>
      <c r="C4" s="1">
        <v>180.15600000000001</v>
      </c>
      <c r="D4" s="1">
        <v>146</v>
      </c>
    </row>
    <row r="5" spans="1:5" x14ac:dyDescent="0.3">
      <c r="A5" s="1" t="s">
        <v>4</v>
      </c>
      <c r="B5" s="1" t="s">
        <v>6</v>
      </c>
      <c r="C5" s="1">
        <v>97.1</v>
      </c>
      <c r="D5" s="1"/>
    </row>
    <row r="6" spans="1:5" x14ac:dyDescent="0.3">
      <c r="A6" s="1" t="s">
        <v>14</v>
      </c>
      <c r="B6" s="1"/>
      <c r="C6" s="1">
        <v>324.59300000000002</v>
      </c>
      <c r="D6" s="1"/>
    </row>
    <row r="7" spans="1:5" x14ac:dyDescent="0.3">
      <c r="A7" s="1"/>
      <c r="B7" s="1"/>
      <c r="C7" s="1"/>
      <c r="D7" s="1"/>
    </row>
    <row r="8" spans="1:5" x14ac:dyDescent="0.3">
      <c r="A8" s="1"/>
      <c r="B8" s="1" t="s">
        <v>10</v>
      </c>
      <c r="C8" s="1" t="s">
        <v>13</v>
      </c>
      <c r="D8" s="1" t="s">
        <v>16</v>
      </c>
    </row>
    <row r="9" spans="1:5" x14ac:dyDescent="0.3">
      <c r="A9" s="1"/>
      <c r="B9" s="1" t="s">
        <v>11</v>
      </c>
      <c r="C9" s="1">
        <v>1</v>
      </c>
      <c r="D9" s="1">
        <f>(C9/C4)*1000</f>
        <v>5.5507449099669177</v>
      </c>
    </row>
    <row r="10" spans="1:5" x14ac:dyDescent="0.3">
      <c r="A10" s="1"/>
      <c r="B10" s="1" t="s">
        <v>15</v>
      </c>
      <c r="C10" s="1">
        <f>(C9/C4)*4*C6</f>
        <v>7.2069317702435676</v>
      </c>
      <c r="D10" s="1">
        <f xml:space="preserve"> (C10/C6)*1000</f>
        <v>22.202979639867671</v>
      </c>
    </row>
    <row r="11" spans="1:5" x14ac:dyDescent="0.3">
      <c r="A11" s="1"/>
      <c r="B11" s="1" t="s">
        <v>12</v>
      </c>
      <c r="C11" s="1">
        <f>(C9/C4)*0.2*C5</f>
        <v>0.10779546615155754</v>
      </c>
      <c r="D11" s="1">
        <f>(C11/C5)*1000</f>
        <v>1.1101489819933836</v>
      </c>
    </row>
    <row r="12" spans="1:5" x14ac:dyDescent="0.3">
      <c r="A12" s="1"/>
      <c r="B12" s="1"/>
      <c r="C12" s="1"/>
      <c r="D12" s="1"/>
    </row>
    <row r="13" spans="1:5" x14ac:dyDescent="0.3">
      <c r="A13" s="1"/>
      <c r="B13" s="1"/>
      <c r="C13" s="1"/>
      <c r="D13" s="1"/>
    </row>
    <row r="14" spans="1:5" x14ac:dyDescent="0.3">
      <c r="A14" s="1"/>
      <c r="B14" s="1"/>
      <c r="C14" s="1"/>
      <c r="D14" s="1"/>
    </row>
    <row r="15" spans="1:5" x14ac:dyDescent="0.3">
      <c r="A15" s="1"/>
      <c r="B15" s="1"/>
      <c r="C15" s="1"/>
      <c r="D15" s="1"/>
    </row>
    <row r="16" spans="1:5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</row>
    <row r="28" spans="1:4" x14ac:dyDescent="0.3">
      <c r="A28" s="1"/>
      <c r="B28" s="1"/>
      <c r="C28" s="1"/>
    </row>
    <row r="29" spans="1:4" x14ac:dyDescent="0.3">
      <c r="A29" s="1"/>
      <c r="B29" s="1"/>
      <c r="C29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Taylor</dc:creator>
  <cp:lastModifiedBy>James Taylor</cp:lastModifiedBy>
  <dcterms:created xsi:type="dcterms:W3CDTF">2018-06-11T04:46:29Z</dcterms:created>
  <dcterms:modified xsi:type="dcterms:W3CDTF">2018-06-14T23:52:02Z</dcterms:modified>
</cp:coreProperties>
</file>