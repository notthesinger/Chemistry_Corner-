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es\Desktop\Emadys lab\"/>
    </mc:Choice>
  </mc:AlternateContent>
  <xr:revisionPtr revIDLastSave="0" documentId="13_ncr:1_{1BF664DA-19F8-424D-9C29-C5D7770F8A24}" xr6:coauthVersionLast="36" xr6:coauthVersionMax="36" xr10:uidLastSave="{00000000-0000-0000-0000-000000000000}"/>
  <bookViews>
    <workbookView xWindow="0" yWindow="0" windowWidth="23040" windowHeight="9036" xr2:uid="{A0C31BCA-EDB0-437B-88FF-9ED4B89F8A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7" i="1" l="1"/>
  <c r="C7" i="1"/>
  <c r="D7" i="1"/>
  <c r="B7" i="1"/>
  <c r="C6" i="1"/>
  <c r="D6" i="1"/>
  <c r="B6" i="1"/>
  <c r="D5" i="1"/>
  <c r="C5" i="1"/>
  <c r="B5" i="1"/>
</calcChain>
</file>

<file path=xl/sharedStrings.xml><?xml version="1.0" encoding="utf-8"?>
<sst xmlns="http://schemas.openxmlformats.org/spreadsheetml/2006/main" count="12" uniqueCount="12">
  <si>
    <t>Starting level of Buret (mL)</t>
  </si>
  <si>
    <t>Ending level of Buret (mL)</t>
  </si>
  <si>
    <t xml:space="preserve">Trial 1 </t>
  </si>
  <si>
    <t>Trial 2</t>
  </si>
  <si>
    <t xml:space="preserve">Trial 3 </t>
  </si>
  <si>
    <t>Grams of KHP (grams)</t>
  </si>
  <si>
    <t>Amount of liquid dispensed (ml)</t>
  </si>
  <si>
    <t>M.M. NaOH (g/mol):</t>
  </si>
  <si>
    <t xml:space="preserve">M.M. KHP (g/mol): </t>
  </si>
  <si>
    <t>Moles of NaOH (mol):</t>
  </si>
  <si>
    <t>Molarity of the NaOH Sol. (Mol/L):</t>
  </si>
  <si>
    <t>Average molarity (Mol/L)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</si>
</sst>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BE1EB-ADE2-4450-AC1F-D049583CBA45}">
  <dimension ref="A1:G7"/>
  <sheetViews>
    <sheetView tabSelected="1" workbookViewId="0">
      <selection activeCell="E8" sqref="E8"/>
    </sheetView>
  </sheetViews>
  <sheetFormatPr defaultRowHeight="15.6" x14ac:dyDescent="0.3"/>
  <cols>
    <col min="1" max="1" width="30" bestFit="1" customWidth="1"/>
    <col min="2" max="2" width="12.19921875" bestFit="1" customWidth="1"/>
    <col min="5" max="5" width="21.8984375" bestFit="1" customWidth="1"/>
    <col min="6" max="6" width="18.296875" bestFit="1" customWidth="1"/>
  </cols>
  <sheetData>
    <row r="1" spans="1:7" x14ac:dyDescent="0.3">
      <c r="B1" t="s">
        <v>2</v>
      </c>
      <c r="C1" t="s">
        <v>3</v>
      </c>
      <c r="D1" t="s">
        <v>4</v>
      </c>
    </row>
    <row r="2" spans="1:7" x14ac:dyDescent="0.3">
      <c r="A2" t="s">
        <v>5</v>
      </c>
      <c r="B2">
        <v>0.76639999999999997</v>
      </c>
      <c r="C2">
        <v>0.755</v>
      </c>
      <c r="D2">
        <v>0.74760000000000004</v>
      </c>
      <c r="F2" t="s">
        <v>7</v>
      </c>
      <c r="G2">
        <v>39.997</v>
      </c>
    </row>
    <row r="3" spans="1:7" x14ac:dyDescent="0.3">
      <c r="A3" t="s">
        <v>0</v>
      </c>
      <c r="B3">
        <v>30.02</v>
      </c>
      <c r="C3">
        <v>25.63</v>
      </c>
      <c r="D3">
        <v>31.8</v>
      </c>
      <c r="F3" t="s">
        <v>8</v>
      </c>
      <c r="G3">
        <v>204.22</v>
      </c>
    </row>
    <row r="4" spans="1:7" x14ac:dyDescent="0.3">
      <c r="A4" t="s">
        <v>1</v>
      </c>
      <c r="B4">
        <v>45.64</v>
      </c>
      <c r="C4">
        <v>40.58</v>
      </c>
      <c r="D4">
        <v>46.6</v>
      </c>
    </row>
    <row r="5" spans="1:7" x14ac:dyDescent="0.3">
      <c r="A5" t="s">
        <v>6</v>
      </c>
      <c r="B5">
        <f>B4-B3</f>
        <v>15.620000000000001</v>
      </c>
      <c r="C5">
        <f>C4-C3</f>
        <v>14.95</v>
      </c>
      <c r="D5">
        <f>D4-D3</f>
        <v>14.8</v>
      </c>
    </row>
    <row r="6" spans="1:7" x14ac:dyDescent="0.3">
      <c r="A6" t="s">
        <v>9</v>
      </c>
      <c r="B6">
        <f>B2*(1/$G$3)</f>
        <v>3.752815591029282E-3</v>
      </c>
      <c r="C6">
        <f t="shared" ref="C6:D6" si="0">C2*(1/$G$3)</f>
        <v>3.6969934384487317E-3</v>
      </c>
      <c r="D6">
        <f t="shared" si="0"/>
        <v>3.6607580060718835E-3</v>
      </c>
      <c r="E6" t="s">
        <v>11</v>
      </c>
    </row>
    <row r="7" spans="1:7" x14ac:dyDescent="0.3">
      <c r="A7" t="s">
        <v>10</v>
      </c>
      <c r="B7">
        <f>B6/(B5/1000)</f>
        <v>0.24025708009150332</v>
      </c>
      <c r="C7">
        <f t="shared" ref="C7:D7" si="1">C6/(C5/1000)</f>
        <v>0.24729053099991516</v>
      </c>
      <c r="D7">
        <f t="shared" si="1"/>
        <v>0.24734851392377591</v>
      </c>
      <c r="E7">
        <f>AVERAGE(B7:D7)</f>
        <v>0.24496537500506479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Taylor</dc:creator>
  <cp:lastModifiedBy>James Taylor</cp:lastModifiedBy>
  <dcterms:created xsi:type="dcterms:W3CDTF">2019-07-07T03:21:22Z</dcterms:created>
  <dcterms:modified xsi:type="dcterms:W3CDTF">2019-07-07T03:45:09Z</dcterms:modified>
</cp:coreProperties>
</file>